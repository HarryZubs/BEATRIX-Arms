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2911405fb83634/Documents/BEATRIX/Git/BEATRIX-Arms/Hardware/"/>
    </mc:Choice>
  </mc:AlternateContent>
  <xr:revisionPtr revIDLastSave="0" documentId="8_{AEA46263-DEE9-423E-BC0B-B7DA7C1DA8BA}" xr6:coauthVersionLast="47" xr6:coauthVersionMax="47" xr10:uidLastSave="{00000000-0000-0000-0000-000000000000}"/>
  <bookViews>
    <workbookView xWindow="-120" yWindow="-120" windowWidth="29040" windowHeight="15720" xr2:uid="{843461CA-D3D1-4411-9F62-B7CFDBB4F0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28" i="1" l="1"/>
  <c r="F21" i="1"/>
  <c r="F24" i="1"/>
  <c r="F15" i="1"/>
  <c r="F43" i="1"/>
  <c r="F46" i="1" s="1"/>
  <c r="F37" i="1"/>
  <c r="F36" i="1"/>
  <c r="F35" i="1"/>
  <c r="F34" i="1"/>
  <c r="F33" i="1"/>
  <c r="F25" i="1"/>
  <c r="F23" i="1"/>
  <c r="F22" i="1"/>
  <c r="F14" i="1"/>
  <c r="F13" i="1"/>
  <c r="F12" i="1"/>
  <c r="F11" i="1"/>
  <c r="F18" i="1" s="1"/>
  <c r="F5" i="1"/>
  <c r="F4" i="1"/>
  <c r="F3" i="1"/>
  <c r="F8" i="1" s="1"/>
  <c r="F30" i="1" l="1"/>
  <c r="F40" i="1"/>
</calcChain>
</file>

<file path=xl/sharedStrings.xml><?xml version="1.0" encoding="utf-8"?>
<sst xmlns="http://schemas.openxmlformats.org/spreadsheetml/2006/main" count="82" uniqueCount="53">
  <si>
    <t>Stepper UK</t>
  </si>
  <si>
    <t>Part</t>
  </si>
  <si>
    <t>Quantity</t>
  </si>
  <si>
    <t>Cost</t>
  </si>
  <si>
    <t>Total</t>
  </si>
  <si>
    <t>Link</t>
  </si>
  <si>
    <t>J1/J2 Motor</t>
  </si>
  <si>
    <t>https://www.stepperonline.co.uk/nema-17-stepper-motor-bipolar-l-48mm-w-gear-ratio-14-1-planetary-gearbox-17hs19-1684s-pg14.html</t>
  </si>
  <si>
    <t>J3 Motor</t>
  </si>
  <si>
    <t>https://www.stepperonline.co.uk/nema-17-stepper-motor-l-39mm-gear-ratio-10-1-mg-series-planetary-gearbox-17hs15-1584s-mg10.html</t>
  </si>
  <si>
    <t>J4/J5/J6/J7 Motor</t>
  </si>
  <si>
    <t>https://www.stepperonline.co.uk/5pcs-e-series-nema-17-bipolar-42ncm-59-49oz-in-1-5a-42x42x38mm-4-wires-w-1m-cable-connector-5-17he15-1504s.html</t>
  </si>
  <si>
    <t>Delivery</t>
  </si>
  <si>
    <t>Simply Bearings</t>
  </si>
  <si>
    <t>https://simplybearings.co.uk/shop/p82858/External-Circlip-for-40mm-Shaft-Diameter-Un-Sprung-Diameter-36.5mm/product_info.html?srsltid=AfmBOooz5w8McDzTdZEIHq_HMT_6FcPXzmxE24X4ki_Kj5AWGN-X-I2w</t>
  </si>
  <si>
    <t>Pi Hut</t>
  </si>
  <si>
    <t>Stepper Motor Driver</t>
  </si>
  <si>
    <t>https://thepihut.com/products/l298n-motor-stepper-driver</t>
  </si>
  <si>
    <t xml:space="preserve">RS </t>
  </si>
  <si>
    <t>M3 Inserts</t>
  </si>
  <si>
    <t>https://uk.rs-online.com/web/p/threaded-inserts/0278534</t>
  </si>
  <si>
    <t>M3 Bolts</t>
  </si>
  <si>
    <t>https://uk.rs-online.com/web/p/machine-screws/9141771</t>
  </si>
  <si>
    <t>Amazon</t>
  </si>
  <si>
    <t>https://www.amazon.co.uk/sourcing-map-Synchronous-Aluminum-Printer/dp/B0DNFCVW62/ref=sr_1_2?crid=223ULH3RZX4ZX&amp;dib=eyJ2IjoiMSJ9.cUyyzv4wIzXHRbstiOLuhzT0l3Ip3iymCgHbjkttU9lWW2mYbUhyB5KJJ_GVK574Yuyl9RPfiHQV-wvzlvYV_YSD5LTgfLuaW06T6dHbND0Qra83QkjBXftslv86cAQUruvz7nMXRTydqb51f7XLcG-CHsVGtmmPq5jcv2rGLw5YVhfyJytMYLdJollYpXURTQRjcjDGxEXSSkNCNyn0pqCaCV7leESxq5o7M7-Oq6sTfeklkRdXPZjegZ4SEU1KsnOTeqTiaIKt7z87gJev_Zv3AddggNzXazXRGIJI2N4.84f2SW2KFPtujfo1ceurn11FK7nCKHB_CbrzH3numX0&amp;dib_tag=se&amp;keywords=12mm+gt2+pulley&amp;qid=1772625432&amp;sprefix=12mm+gt2+pull%2Caps%2C296&amp;sr=8-2</t>
  </si>
  <si>
    <t>Ordered 04/03/26 by Harry</t>
  </si>
  <si>
    <t>To be ordered by Uriel</t>
  </si>
  <si>
    <t xml:space="preserve">Ask technicians for </t>
  </si>
  <si>
    <t>J1 / J3 Bearings</t>
  </si>
  <si>
    <t>J2/J4/J6 Bearings</t>
  </si>
  <si>
    <t>J5 Bearings</t>
  </si>
  <si>
    <t>J1 / J3 Circlip</t>
  </si>
  <si>
    <t>J2/J4/J6 Circlip</t>
  </si>
  <si>
    <t>https://uk.rs-online.com/web/p/circlips/0289247</t>
  </si>
  <si>
    <t>J2/J4/J6 Driven Pulley</t>
  </si>
  <si>
    <t>J2 Drive Pulley</t>
  </si>
  <si>
    <t>J4/J6 Drive Pulley</t>
  </si>
  <si>
    <t>J2/J4/J6 Belt</t>
  </si>
  <si>
    <t>J2/J4/J6 Idlier</t>
  </si>
  <si>
    <t>https://simplybearings.co.uk/shop/p170503/161012RS-Budget-Rubber-Sealed-Deep-Groove-Ball-Bearing-12x30x8mm/product_info.html</t>
  </si>
  <si>
    <t>https://simplybearings.co.uk/shop/p2146128/ZEN-619052RS-Rubber-Sealed-Deep-Groove-Ball-Bearing-25x42x9mm-Allow-2-3-Days/product_info.html</t>
  </si>
  <si>
    <t>J5 Circlip</t>
  </si>
  <si>
    <t>https://simplybearings.co.uk/shop/p82843/External-Circlip-for-25mm-Shaft-Diameter-Un-Sprung-Diameter-23.2mm/product_info.html</t>
  </si>
  <si>
    <t>https://uk.rs-online.com/web/p/socket-screws/8229127</t>
  </si>
  <si>
    <t>https://uk.rs-online.com/web/p/hex-nuts/0525919</t>
  </si>
  <si>
    <t>M6 Bolts</t>
  </si>
  <si>
    <t>M6 Nuts</t>
  </si>
  <si>
    <t>VAT</t>
  </si>
  <si>
    <t>https://simplybearings.co.uk/shop/p2146031/ZEN-618082RS-Rubber-Sealed-Deep-Groove-Ball-Bearing-40x52x7mm-Allow-2-3-Days/product_info.html</t>
  </si>
  <si>
    <t>https://www.amazon.co.uk/Closed-Loop-Timing-Synchronous-Printer-Accessories/dp/B0B2W9V3N6/ref=sr_1_6?crid=BOTHB73AZYIR&amp;dib=eyJ2IjoiMSJ9.VqBB3PjiNhHgM4hEmrHPCGSnAfRN224KX89ArEcIqMp7Q85N4ffuiuFh2YVZiw42uo35s9k3SCXpcFQh0zMSK0LyyXshBjS948yCWXsH5iWxd4yIoZAie3tc6Ki1irOWhLaKvXpjX5UIfutWfqbK_gLliEHI8h49QQJUCQy7XafLdeGL0sSD_wvovvvmghTBsCXpOBszvQls3rzNczKB34PGG1JPvU0Z4jE_JpildLJBtizW1sv5B-_UeWPwecBoDZIK4SKj2iNe2FGRmWUPgXIRvDUGJe95XUPj10yfm00.LPoE0Wj1DPjZ_TkqHbbu_22ukN4b8LqpT4qBMIfT9iI&amp;dib_tag=se&amp;keywords=2gt%2Bbelt%2B200mm&amp;qid=1772630628&amp;s=industrial&amp;sprefix=2gt%2Bbelt%2B200mm%2Cindustrial%2C238&amp;sr=1-6&amp;th=1</t>
  </si>
  <si>
    <t>https://www.amazon.co.uk/Super-Pulley-Aluminum-Timing-Printer/dp/B0CND58QZJ/ref=sr_1_15?crid=1TWIR6OXCQ4X1&amp;dib=eyJ2IjoiMSJ9.C699uYJCydraaB2YZaexR-TEJLCZcf_RBYUEQ1BJhaCa9-escZJ1GFHaI0DvNlPwFMxZ_FrA-b24Uqf5BW6fT8hjKPf3cfCICLHu9t2F-JTaCTW_d2JTZfq45MMdLKZZSf8PgHCIOgLKBfX4PMaTJw4Re83Xsv57XY9uaCa7wvQcF1isDjI2NpBu2Sue_YZbx-tvrT5ENY-hSUJl4mGHTHzaRuflS9C_LbOmH95LFaSYE0qZ1G_av2jNiry5NJN9InEybhWXSx8JdZKiMfI9v7FYDZyK7mU8gpWq9el9kUg.G9AlCmqffm2ZmKUv275j-LPkA4nmr_JULqh0KqTdQmM&amp;dib_tag=se&amp;keywords=3gt%2Bpulley&amp;qid=1772545913&amp;s=industrial&amp;sprefix=3gt%2Bpu%2Cindustrial%2C255&amp;sr=1-15&amp;th=1</t>
  </si>
  <si>
    <t>https://www.amazon.co.uk/Super-Pulley-Aluminum-Timing-Printer/dp/B0CND54G7W/ref=sr_1_15?crid=1TWIR6OXCQ4X1&amp;dib=eyJ2IjoiMSJ9.C699uYJCydraaB2YZaexR-TEJLCZcf_RBYUEQ1BJhaCa9-escZJ1GFHaI0DvNlPwFMxZ_FrA-b24Uqf5BW6fT8hjKPf3cfCICLHu9t2F-JTaCTW_d2JTZfq45MMdLKZZSf8PgHCIOgLKBfX4PMaTJw4Re83Xsv57XY9uaCa7wvQcF1isDjI2NpBu2Sue_YZbx-tvrT5ENY-hSUJl4mGHTHzaRuflS9C_LbOmH95LFaSYE0qZ1G_av2jNiry5NJN9InEybhWXSx8JdZKiMfI9v7FYDZyK7mU8gpWq9el9kUg.G9AlCmqffm2ZmKUv275j-LPkA4nmr_JULqh0KqTdQmM&amp;dib_tag=se&amp;keywords=3gt%2Bpulley&amp;qid=1772545913&amp;s=industrial&amp;sprefix=3gt%2Bpu%2Cindustrial%2C255&amp;sr=1-15&amp;th=1</t>
  </si>
  <si>
    <t>https://www.amazon.co.uk/Super-Pulley-Aluminum-Timing-Printer/dp/B0F82V92D9/ref=sr_1_15?crid=1TWIR6OXCQ4X1&amp;dib=eyJ2IjoiMSJ9.C699uYJCydraaB2YZaexR-TEJLCZcf_RBYUEQ1BJhaCa9-escZJ1GFHaI0DvNlPwFMxZ_FrA-b24Uqf5BW6fT8hjKPf3cfCICLHu9t2F-JTaCTW_d2JTZfq45MMdLKZZSf8PgHCIOgLKBfX4PMaTJw4Re83Xsv57XY9uaCa7wvQcF1isDjI2NpBu2Sue_YZbx-tvrT5ENY-hSUJl4mGHTHzaRuflS9C_LbOmH95LFaSYE0qZ1G_av2jNiry5NJN9InEybhWXSx8JdZKiMfI9v7FYDZyK7mU8gpWq9el9kUg.G9AlCmqffm2ZmKUv275j-LPkA4nmr_JULqh0KqTdQmM&amp;dib_tag=se&amp;keywords=3gt%2Bpulley&amp;qid=1772545913&amp;s=industrial&amp;sprefix=3gt%2Bpu%2Cindustrial%2C255&amp;sr=1-15&amp;th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</si>
</sst>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44" fontId="0" fillId="0" borderId="0" xfId="1" applyFont="1"/>
    <xf numFmtId="0" fontId="3" fillId="0" borderId="0" xfId="2"/>
    <xf numFmtId="44" fontId="2" fillId="0" borderId="0" xfId="0" applyNumberFormat="1" applyFont="1"/>
    <xf numFmtId="44" fontId="2" fillId="2" borderId="0" xfId="0" applyNumberFormat="1" applyFont="1" applyFill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mazon.co.uk/sourcing-map-Synchronous-Aluminum-Printer/dp/B0DNFCVW62/ref=sr_1_2?crid=223ULH3RZX4ZX&amp;dib=eyJ2IjoiMSJ9.cUyyzv4wIzXHRbstiOLuhzT0l3Ip3iymCgHbjkttU9lWW2mYbUhyB5KJJ_GVK574Yuyl9RPfiHQV-wvzlvYV_YSD5LTgfLuaW06T6dHbND0Qra83QkjBXftslv86cAQUruvz7nMXRTydqb51f7XLcG-CHsVGtmmPq5jcv2rGLw5YVhfyJytMYLdJollYpXURTQRjcjDGxEXSSkNCNyn0pqCaCV7leESxq5o7M7-Oq6sTfeklkRdXPZjegZ4SEU1KsnOTeqTiaIKt7z87gJev_Zv3AddggNzXazXRGIJI2N4.84f2SW2KFPtujfo1ceurn11FK7nCKHB_CbrzH3numX0&amp;dib_tag=se&amp;keywords=12mm+gt2+pulley&amp;qid=1772625432&amp;sprefix=12mm+gt2+pull%2Caps%2C296&amp;sr=8-2" TargetMode="External"/><Relationship Id="rId1" Type="http://schemas.openxmlformats.org/officeDocument/2006/relationships/hyperlink" Target="https://www.stepperonline.co.uk/5pcs-e-series-nema-17-bipolar-42ncm-59-49oz-in-1-5a-42x42x38mm-4-wires-w-1m-cable-connector-5-17he15-1504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2DAF2-3C66-45F6-9426-16C89561B3A5}">
  <dimension ref="A2:G46"/>
  <sheetViews>
    <sheetView tabSelected="1" workbookViewId="0">
      <selection activeCell="G37" sqref="G37"/>
    </sheetView>
  </sheetViews>
  <sheetFormatPr defaultRowHeight="15" x14ac:dyDescent="0.25"/>
  <cols>
    <col min="1" max="1" width="24" customWidth="1"/>
    <col min="2" max="2" width="15.7109375" customWidth="1"/>
    <col min="3" max="3" width="21.7109375" customWidth="1"/>
  </cols>
  <sheetData>
    <row r="2" spans="1:7" x14ac:dyDescent="0.25">
      <c r="A2" t="s">
        <v>25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1:7" x14ac:dyDescent="0.25">
      <c r="C3" t="s">
        <v>6</v>
      </c>
      <c r="D3">
        <v>2</v>
      </c>
      <c r="E3" s="2">
        <v>32.69</v>
      </c>
      <c r="F3" s="2">
        <f>D3*E3</f>
        <v>65.38</v>
      </c>
      <c r="G3" t="s">
        <v>7</v>
      </c>
    </row>
    <row r="4" spans="1:7" x14ac:dyDescent="0.25">
      <c r="C4" t="s">
        <v>8</v>
      </c>
      <c r="D4">
        <v>1</v>
      </c>
      <c r="E4" s="2">
        <v>23.79</v>
      </c>
      <c r="F4" s="2">
        <f t="shared" ref="F4:F5" si="0">D4*E4</f>
        <v>23.79</v>
      </c>
      <c r="G4" t="s">
        <v>9</v>
      </c>
    </row>
    <row r="5" spans="1:7" x14ac:dyDescent="0.25">
      <c r="C5" t="s">
        <v>10</v>
      </c>
      <c r="D5">
        <v>1</v>
      </c>
      <c r="E5" s="2">
        <v>22.67</v>
      </c>
      <c r="F5" s="2">
        <f t="shared" si="0"/>
        <v>22.67</v>
      </c>
      <c r="G5" s="3" t="s">
        <v>11</v>
      </c>
    </row>
    <row r="6" spans="1:7" x14ac:dyDescent="0.25">
      <c r="F6" s="2"/>
    </row>
    <row r="7" spans="1:7" x14ac:dyDescent="0.25">
      <c r="C7" t="s">
        <v>12</v>
      </c>
      <c r="F7" s="2">
        <f>7.8+1.6</f>
        <v>9.4</v>
      </c>
    </row>
    <row r="8" spans="1:7" x14ac:dyDescent="0.25">
      <c r="C8" t="s">
        <v>4</v>
      </c>
      <c r="F8" s="4">
        <f>SUM(F3:F7)</f>
        <v>121.24</v>
      </c>
    </row>
    <row r="10" spans="1:7" x14ac:dyDescent="0.25">
      <c r="B10" s="1" t="s">
        <v>13</v>
      </c>
      <c r="C10" s="1" t="s">
        <v>1</v>
      </c>
      <c r="D10" s="1" t="s">
        <v>2</v>
      </c>
      <c r="E10" s="1" t="s">
        <v>3</v>
      </c>
      <c r="F10" s="1" t="s">
        <v>4</v>
      </c>
      <c r="G10" s="1" t="s">
        <v>5</v>
      </c>
    </row>
    <row r="11" spans="1:7" x14ac:dyDescent="0.25">
      <c r="C11" t="s">
        <v>28</v>
      </c>
      <c r="D11">
        <v>4</v>
      </c>
      <c r="E11" s="2">
        <v>5.98</v>
      </c>
      <c r="F11" s="2">
        <f>D11*E11</f>
        <v>23.92</v>
      </c>
      <c r="G11" t="s">
        <v>48</v>
      </c>
    </row>
    <row r="12" spans="1:7" x14ac:dyDescent="0.25">
      <c r="C12" t="s">
        <v>29</v>
      </c>
      <c r="D12">
        <v>6</v>
      </c>
      <c r="E12" s="2">
        <v>3.98</v>
      </c>
      <c r="F12" s="2">
        <f t="shared" ref="F12:F15" si="1">D12*E12</f>
        <v>23.88</v>
      </c>
      <c r="G12" t="s">
        <v>39</v>
      </c>
    </row>
    <row r="13" spans="1:7" x14ac:dyDescent="0.25">
      <c r="C13" t="s">
        <v>30</v>
      </c>
      <c r="D13">
        <v>2</v>
      </c>
      <c r="E13" s="2">
        <v>4.2699999999999996</v>
      </c>
      <c r="F13" s="2">
        <f t="shared" si="1"/>
        <v>8.5399999999999991</v>
      </c>
      <c r="G13" t="s">
        <v>40</v>
      </c>
    </row>
    <row r="14" spans="1:7" x14ac:dyDescent="0.25">
      <c r="C14" t="s">
        <v>31</v>
      </c>
      <c r="D14">
        <v>2</v>
      </c>
      <c r="E14" s="2">
        <v>3.75</v>
      </c>
      <c r="F14" s="2">
        <f t="shared" si="1"/>
        <v>7.5</v>
      </c>
      <c r="G14" t="s">
        <v>14</v>
      </c>
    </row>
    <row r="15" spans="1:7" x14ac:dyDescent="0.25">
      <c r="C15" t="s">
        <v>41</v>
      </c>
      <c r="D15">
        <v>1</v>
      </c>
      <c r="E15" s="2">
        <v>3.27</v>
      </c>
      <c r="F15" s="2">
        <f t="shared" si="1"/>
        <v>3.27</v>
      </c>
      <c r="G15" t="s">
        <v>42</v>
      </c>
    </row>
    <row r="17" spans="1:7" x14ac:dyDescent="0.25">
      <c r="C17" t="s">
        <v>47</v>
      </c>
      <c r="F17" s="2">
        <v>13.42</v>
      </c>
    </row>
    <row r="18" spans="1:7" x14ac:dyDescent="0.25">
      <c r="C18" t="s">
        <v>4</v>
      </c>
      <c r="F18" s="4">
        <f>SUM(F11:F17)</f>
        <v>80.53</v>
      </c>
    </row>
    <row r="20" spans="1:7" x14ac:dyDescent="0.25">
      <c r="B20" s="1" t="s">
        <v>18</v>
      </c>
      <c r="C20" s="1" t="s">
        <v>1</v>
      </c>
      <c r="D20" s="1" t="s">
        <v>2</v>
      </c>
      <c r="E20" s="1" t="s">
        <v>3</v>
      </c>
      <c r="F20" s="1" t="s">
        <v>4</v>
      </c>
      <c r="G20" s="1" t="s">
        <v>5</v>
      </c>
    </row>
    <row r="21" spans="1:7" x14ac:dyDescent="0.25">
      <c r="C21" t="s">
        <v>32</v>
      </c>
      <c r="D21">
        <v>1</v>
      </c>
      <c r="E21" s="2">
        <v>2.6</v>
      </c>
      <c r="F21" s="2">
        <f>D21*E21</f>
        <v>2.6</v>
      </c>
      <c r="G21" t="s">
        <v>33</v>
      </c>
    </row>
    <row r="22" spans="1:7" x14ac:dyDescent="0.25">
      <c r="C22" t="s">
        <v>19</v>
      </c>
      <c r="D22">
        <v>1</v>
      </c>
      <c r="E22" s="2">
        <v>9.2899999999999991</v>
      </c>
      <c r="F22" s="2">
        <f>D22*E22</f>
        <v>9.2899999999999991</v>
      </c>
      <c r="G22" t="s">
        <v>20</v>
      </c>
    </row>
    <row r="23" spans="1:7" x14ac:dyDescent="0.25">
      <c r="C23" t="s">
        <v>21</v>
      </c>
      <c r="D23">
        <v>1</v>
      </c>
      <c r="E23" s="2">
        <v>6.23</v>
      </c>
      <c r="F23" s="2">
        <f t="shared" ref="F23:F25" si="2">D23*E23</f>
        <v>6.23</v>
      </c>
      <c r="G23" t="s">
        <v>22</v>
      </c>
    </row>
    <row r="24" spans="1:7" x14ac:dyDescent="0.25">
      <c r="C24" t="s">
        <v>45</v>
      </c>
      <c r="D24">
        <v>1</v>
      </c>
      <c r="E24" s="2">
        <v>11.16</v>
      </c>
      <c r="F24" s="2">
        <f t="shared" si="2"/>
        <v>11.16</v>
      </c>
      <c r="G24" t="s">
        <v>43</v>
      </c>
    </row>
    <row r="25" spans="1:7" x14ac:dyDescent="0.25">
      <c r="C25" t="s">
        <v>46</v>
      </c>
      <c r="D25">
        <v>1</v>
      </c>
      <c r="E25" s="2">
        <v>5.25</v>
      </c>
      <c r="F25" s="2">
        <f t="shared" si="2"/>
        <v>5.25</v>
      </c>
      <c r="G25" t="s">
        <v>44</v>
      </c>
    </row>
    <row r="27" spans="1:7" x14ac:dyDescent="0.25">
      <c r="C27" t="s">
        <v>47</v>
      </c>
      <c r="F27" s="2">
        <v>6.91</v>
      </c>
    </row>
    <row r="28" spans="1:7" x14ac:dyDescent="0.25">
      <c r="C28" t="s">
        <v>4</v>
      </c>
      <c r="F28" s="4">
        <f>SUM(F21:F27)</f>
        <v>41.44</v>
      </c>
    </row>
    <row r="29" spans="1:7" x14ac:dyDescent="0.25">
      <c r="G29" s="1"/>
    </row>
    <row r="30" spans="1:7" x14ac:dyDescent="0.25">
      <c r="B30" s="1"/>
      <c r="C30" s="1" t="s">
        <v>4</v>
      </c>
      <c r="D30" s="1"/>
      <c r="E30" s="1"/>
      <c r="F30" s="4">
        <f>(F28+F18+F8)</f>
        <v>243.20999999999998</v>
      </c>
    </row>
    <row r="31" spans="1:7" x14ac:dyDescent="0.25">
      <c r="D31" s="2"/>
      <c r="E31" s="2"/>
    </row>
    <row r="32" spans="1:7" x14ac:dyDescent="0.25">
      <c r="A32" t="s">
        <v>26</v>
      </c>
      <c r="B32" s="1" t="s">
        <v>23</v>
      </c>
      <c r="C32" s="1" t="s">
        <v>1</v>
      </c>
      <c r="D32" s="1" t="s">
        <v>2</v>
      </c>
      <c r="E32" s="1" t="s">
        <v>3</v>
      </c>
      <c r="F32" s="1" t="s">
        <v>4</v>
      </c>
      <c r="G32" s="1" t="s">
        <v>5</v>
      </c>
    </row>
    <row r="33" spans="1:7" x14ac:dyDescent="0.25">
      <c r="C33" t="s">
        <v>34</v>
      </c>
      <c r="D33">
        <v>3</v>
      </c>
      <c r="E33" s="2">
        <v>6.19</v>
      </c>
      <c r="F33" s="2">
        <f>D33*E33</f>
        <v>18.57</v>
      </c>
      <c r="G33" s="3" t="s">
        <v>24</v>
      </c>
    </row>
    <row r="34" spans="1:7" x14ac:dyDescent="0.25">
      <c r="C34" t="s">
        <v>35</v>
      </c>
      <c r="D34">
        <v>1</v>
      </c>
      <c r="E34" s="2">
        <v>8.98</v>
      </c>
      <c r="F34" s="2">
        <f t="shared" ref="F34:F35" si="3">D34*E34</f>
        <v>8.98</v>
      </c>
      <c r="G34" t="s">
        <v>51</v>
      </c>
    </row>
    <row r="35" spans="1:7" x14ac:dyDescent="0.25">
      <c r="C35" t="s">
        <v>36</v>
      </c>
      <c r="D35">
        <v>1</v>
      </c>
      <c r="E35" s="2">
        <v>8.98</v>
      </c>
      <c r="F35" s="2">
        <f t="shared" si="3"/>
        <v>8.98</v>
      </c>
      <c r="G35" t="s">
        <v>50</v>
      </c>
    </row>
    <row r="36" spans="1:7" x14ac:dyDescent="0.25">
      <c r="C36" t="s">
        <v>37</v>
      </c>
      <c r="D36">
        <v>3</v>
      </c>
      <c r="E36" s="2">
        <v>7.39</v>
      </c>
      <c r="F36" s="2">
        <f>D36*E36</f>
        <v>22.169999999999998</v>
      </c>
      <c r="G36" t="s">
        <v>49</v>
      </c>
    </row>
    <row r="37" spans="1:7" x14ac:dyDescent="0.25">
      <c r="C37" t="s">
        <v>38</v>
      </c>
      <c r="D37">
        <v>1</v>
      </c>
      <c r="E37" s="2">
        <v>11.98</v>
      </c>
      <c r="F37" s="2">
        <f>D37*E37</f>
        <v>11.98</v>
      </c>
      <c r="G37" t="s">
        <v>52</v>
      </c>
    </row>
    <row r="39" spans="1:7" x14ac:dyDescent="0.25">
      <c r="C39" t="s">
        <v>12</v>
      </c>
      <c r="F39" s="2">
        <v>0</v>
      </c>
    </row>
    <row r="40" spans="1:7" x14ac:dyDescent="0.25">
      <c r="C40" t="s">
        <v>4</v>
      </c>
      <c r="F40" s="4">
        <f>SUM(F33:F39)</f>
        <v>70.680000000000007</v>
      </c>
    </row>
    <row r="42" spans="1:7" x14ac:dyDescent="0.25">
      <c r="A42" t="s">
        <v>27</v>
      </c>
      <c r="B42" s="1" t="s">
        <v>15</v>
      </c>
      <c r="C42" s="1" t="s">
        <v>1</v>
      </c>
      <c r="D42" s="1" t="s">
        <v>2</v>
      </c>
      <c r="E42" s="1" t="s">
        <v>3</v>
      </c>
      <c r="F42" s="1" t="s">
        <v>4</v>
      </c>
      <c r="G42" s="1" t="s">
        <v>5</v>
      </c>
    </row>
    <row r="43" spans="1:7" x14ac:dyDescent="0.25">
      <c r="C43" t="s">
        <v>16</v>
      </c>
      <c r="D43">
        <v>7</v>
      </c>
      <c r="E43" s="2">
        <v>3.5</v>
      </c>
      <c r="F43" s="2">
        <f>D43*E43</f>
        <v>24.5</v>
      </c>
      <c r="G43" t="s">
        <v>17</v>
      </c>
    </row>
    <row r="45" spans="1:7" x14ac:dyDescent="0.25">
      <c r="C45" t="s">
        <v>12</v>
      </c>
      <c r="F45" s="2">
        <v>3.5</v>
      </c>
    </row>
    <row r="46" spans="1:7" x14ac:dyDescent="0.25">
      <c r="C46" t="s">
        <v>4</v>
      </c>
      <c r="F46" s="5">
        <f>SUM(F43:F45)</f>
        <v>28</v>
      </c>
    </row>
  </sheetData>
  <hyperlinks>
    <hyperlink ref="G5" r:id="rId1" xr:uid="{A63A00E5-7411-41D5-8068-D08ED51E56D2}"/>
    <hyperlink ref="G33" r:id="rId2" display="https://www.amazon.co.uk/sourcing-map-Synchronous-Aluminum-Printer/dp/B0DNFCVW62/ref=sr_1_2?crid=223ULH3RZX4ZX&amp;dib=eyJ2IjoiMSJ9.cUyyzv4wIzXHRbstiOLuhzT0l3Ip3iymCgHbjkttU9lWW2mYbUhyB5KJJ_GVK574Yuyl9RPfiHQV-wvzlvYV_YSD5LTgfLuaW06T6dHbND0Qra83QkjBXftslv86cAQUruvz7nMXRTydqb51f7XLcG-CHsVGtmmPq5jcv2rGLw5YVhfyJytMYLdJollYpXURTQRjcjDGxEXSSkNCNyn0pqCaCV7leESxq5o7M7-Oq6sTfeklkRdXPZjegZ4SEU1KsnOTeqTiaIKt7z87gJev_Zv3AddggNzXazXRGIJI2N4.84f2SW2KFPtujfo1ceurn11FK7nCKHB_CbrzH3numX0&amp;dib_tag=se&amp;keywords=12mm+gt2+pulley&amp;qid=1772625432&amp;sprefix=12mm+gt2+pull%2Caps%2C296&amp;sr=8-2" xr:uid="{A5B2708D-1305-45A7-86A5-D0EF06335033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7e3d22-4ea1-422d-b0ad-8fcc89406b9e}" enabled="0" method="" siteId="{377e3d22-4ea1-422d-b0ad-8fcc89406b9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Zubeidi</dc:creator>
  <cp:lastModifiedBy>Harry Zubeidi</cp:lastModifiedBy>
  <dcterms:created xsi:type="dcterms:W3CDTF">2026-03-04T11:58:37Z</dcterms:created>
  <dcterms:modified xsi:type="dcterms:W3CDTF">2026-05-03T13:02:22Z</dcterms:modified>
</cp:coreProperties>
</file>